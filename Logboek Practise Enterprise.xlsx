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2b0f9413fc791ae0/HOGE SCHOOL/PRACTICE ENTERPRISE/"/>
    </mc:Choice>
  </mc:AlternateContent>
  <xr:revisionPtr revIDLastSave="108" documentId="8_{3E84B7DC-9AFA-44CA-AC7F-86D12B0535F4}" xr6:coauthVersionLast="47" xr6:coauthVersionMax="47" xr10:uidLastSave="{3DD45682-AEE8-4764-9666-2850DE419B3F}"/>
  <bookViews>
    <workbookView xWindow="-108" yWindow="-108" windowWidth="23256" windowHeight="13176" xr2:uid="{F5E120B2-EF94-4BE4-B415-92A0AE3E1919}"/>
  </bookViews>
  <sheets>
    <sheet name="Logboek" sheetId="1" r:id="rId1"/>
    <sheet name="ATMEGA32U4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4" i="1" l="1"/>
  <c r="J51" i="1"/>
  <c r="J53" i="1" s="1"/>
  <c r="H51" i="1"/>
  <c r="J4" i="1"/>
  <c r="H46" i="1"/>
  <c r="H40" i="1"/>
  <c r="H35" i="1"/>
  <c r="H23" i="1"/>
  <c r="H15" i="1"/>
  <c r="J46" i="1"/>
  <c r="J40" i="1"/>
  <c r="J35" i="1"/>
  <c r="J30" i="1"/>
  <c r="J23" i="1"/>
  <c r="J15" i="1"/>
  <c r="J8" i="1"/>
  <c r="H8" i="1"/>
  <c r="H30" i="1" l="1"/>
  <c r="H53" i="1" s="1"/>
</calcChain>
</file>

<file path=xl/sharedStrings.xml><?xml version="1.0" encoding="utf-8"?>
<sst xmlns="http://schemas.openxmlformats.org/spreadsheetml/2006/main" count="144" uniqueCount="132">
  <si>
    <t>Logboek: Split Keyboard</t>
  </si>
  <si>
    <t>Taak</t>
  </si>
  <si>
    <t>Start Datum</t>
  </si>
  <si>
    <t>Deadline</t>
  </si>
  <si>
    <t>Tijd (uur)</t>
  </si>
  <si>
    <t>Taak Status</t>
  </si>
  <si>
    <t>Verantwoordelijkheid</t>
  </si>
  <si>
    <t>Opmerkingen</t>
  </si>
  <si>
    <t>0.</t>
  </si>
  <si>
    <t>Documentatie</t>
  </si>
  <si>
    <t>0.1</t>
  </si>
  <si>
    <t>Project Proposal</t>
  </si>
  <si>
    <t>0.2</t>
  </si>
  <si>
    <t>Github repository maken</t>
  </si>
  <si>
    <t>0.3</t>
  </si>
  <si>
    <t>Excel Logboek</t>
  </si>
  <si>
    <t>1.1</t>
  </si>
  <si>
    <t>PCB Design Versie 1.1</t>
  </si>
  <si>
    <t>1.1.1</t>
  </si>
  <si>
    <t>Schematic Maken</t>
  </si>
  <si>
    <t>1.1.2</t>
  </si>
  <si>
    <t>Footprints maken</t>
  </si>
  <si>
    <t>1.1.3</t>
  </si>
  <si>
    <t xml:space="preserve">PCB Layout </t>
  </si>
  <si>
    <t>1.1.4</t>
  </si>
  <si>
    <t>Traces maken tussen onderdelen</t>
  </si>
  <si>
    <t>1.1.5</t>
  </si>
  <si>
    <t>Foutcontrole op Ontwerp</t>
  </si>
  <si>
    <t>1.1.6</t>
  </si>
  <si>
    <t>Eventuele verbeteringen</t>
  </si>
  <si>
    <t>1.2</t>
  </si>
  <si>
    <t>PCB Design Versie 1.2 (Indien Nodig)</t>
  </si>
  <si>
    <t>1.2.1</t>
  </si>
  <si>
    <t>1.2.2</t>
  </si>
  <si>
    <t>1.2.3</t>
  </si>
  <si>
    <t>1.2.4</t>
  </si>
  <si>
    <t>1.2.5</t>
  </si>
  <si>
    <t>1.2.6</t>
  </si>
  <si>
    <t>2.</t>
  </si>
  <si>
    <t>PCB Bestellen</t>
  </si>
  <si>
    <t>3.</t>
  </si>
  <si>
    <t>Input Detection Code</t>
  </si>
  <si>
    <t>3.1</t>
  </si>
  <si>
    <t>Firmware kiezen (QMK, ...)</t>
  </si>
  <si>
    <t>3.2</t>
  </si>
  <si>
    <t>Matrix Setup</t>
  </si>
  <si>
    <t>3.3</t>
  </si>
  <si>
    <t>Debouncing oplossen</t>
  </si>
  <si>
    <t>3.4</t>
  </si>
  <si>
    <t>Meerdere toetsen tegelijk kunnen indrukken</t>
  </si>
  <si>
    <t>3.5</t>
  </si>
  <si>
    <t>Communicatie Protocol kiezen</t>
  </si>
  <si>
    <t>3.6</t>
  </si>
  <si>
    <t>Delay testen tussen drukken &amp; uitvoer</t>
  </si>
  <si>
    <t>4.</t>
  </si>
  <si>
    <t>Communicatie Code</t>
  </si>
  <si>
    <t>4.1</t>
  </si>
  <si>
    <t>Comm. Protocol kiezen</t>
  </si>
  <si>
    <t>4.2</t>
  </si>
  <si>
    <t>Libraries downloaden van protocol</t>
  </si>
  <si>
    <t>4.3</t>
  </si>
  <si>
    <t>Verbinding controleren</t>
  </si>
  <si>
    <t>4.4</t>
  </si>
  <si>
    <t>Error Handling</t>
  </si>
  <si>
    <t>PCB Assembly</t>
  </si>
  <si>
    <t>5.1</t>
  </si>
  <si>
    <t>Printplaten in Oven steken met componenten</t>
  </si>
  <si>
    <t>5.2</t>
  </si>
  <si>
    <t>Solderen</t>
  </si>
  <si>
    <t>5.3</t>
  </si>
  <si>
    <t>5.4</t>
  </si>
  <si>
    <t>Verbinding controleren: Multimeter</t>
  </si>
  <si>
    <t>6.</t>
  </si>
  <si>
    <t>Testfase/Bugfixing</t>
  </si>
  <si>
    <t>6.1</t>
  </si>
  <si>
    <t>Alle toetsen 1-voor-1 testen</t>
  </si>
  <si>
    <t>6.2</t>
  </si>
  <si>
    <t>Latency test: delay</t>
  </si>
  <si>
    <t>6.3</t>
  </si>
  <si>
    <t>Verbindingsstabiliteit</t>
  </si>
  <si>
    <t>6.4</t>
  </si>
  <si>
    <t>Software bugfixing</t>
  </si>
  <si>
    <t>6.5</t>
  </si>
  <si>
    <t>Alles te samen testen</t>
  </si>
  <si>
    <t>Case Design &amp; Printing</t>
  </si>
  <si>
    <t>7.1</t>
  </si>
  <si>
    <t>PCB opmetingen</t>
  </si>
  <si>
    <t>7.2</t>
  </si>
  <si>
    <t>3D-model maken</t>
  </si>
  <si>
    <t>7.3</t>
  </si>
  <si>
    <t>Print 1e test-plaat</t>
  </si>
  <si>
    <t>7.4</t>
  </si>
  <si>
    <t>Alles printen</t>
  </si>
  <si>
    <t>Pinnen Functies</t>
  </si>
  <si>
    <t>Pin</t>
  </si>
  <si>
    <t>Functie</t>
  </si>
  <si>
    <t>VCC</t>
  </si>
  <si>
    <t>Voeding Voltage</t>
  </si>
  <si>
    <t>GND</t>
  </si>
  <si>
    <t>Ground</t>
  </si>
  <si>
    <t>PB7-PB0</t>
  </si>
  <si>
    <t>8-bit I/O-poorten met interne pull-up resistoren</t>
  </si>
  <si>
    <t>PC7, PC6</t>
  </si>
  <si>
    <t>PD7-PD0</t>
  </si>
  <si>
    <t>PE6, PE2</t>
  </si>
  <si>
    <t>PF0,PF1,PF4-PF7</t>
  </si>
  <si>
    <t>Analoge inputs voor A/D-Converter + 8-bit I/O-poorten als A/D-Converter niet wordt gebruikt</t>
  </si>
  <si>
    <t>D- &amp; D+</t>
  </si>
  <si>
    <t>USB-communicatie pinnen + bi-directionele communicatie + interne 22ohm-resistor</t>
  </si>
  <si>
    <t>UGND</t>
  </si>
  <si>
    <t>USB-ground pin</t>
  </si>
  <si>
    <t>UVCC</t>
  </si>
  <si>
    <t>USB-voeding pin</t>
  </si>
  <si>
    <t>UCAP</t>
  </si>
  <si>
    <t>USB-condensator pin</t>
  </si>
  <si>
    <t>VBUS</t>
  </si>
  <si>
    <t>USB monitor + pin detecteert of USB-kabel is aangesloten of niet</t>
  </si>
  <si>
    <t>RESET</t>
  </si>
  <si>
    <t>reset-pin van chip</t>
  </si>
  <si>
    <t>XTAL1 &amp; XTAL2</t>
  </si>
  <si>
    <t>aansluitingen voor externe kristalklok(ken)</t>
  </si>
  <si>
    <t>AVCC</t>
  </si>
  <si>
    <t xml:space="preserve">Analoge VCC </t>
  </si>
  <si>
    <t>AREF</t>
  </si>
  <si>
    <t>Analoge Referentie + referentiepunt voor analoge metingen</t>
  </si>
  <si>
    <t>Samen</t>
  </si>
  <si>
    <t>Marie</t>
  </si>
  <si>
    <t>Ook linken met onedrive</t>
  </si>
  <si>
    <t>Schematic maken</t>
  </si>
  <si>
    <t>Foutcontrole op ontwerp</t>
  </si>
  <si>
    <t>Powerpoint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</si>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</sst>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1" fillId="4" borderId="0" applyNumberFormat="0" applyBorder="0" applyAlignment="0" applyProtection="0"/>
    <xf numFmtId="0" fontId="1" fillId="5" borderId="0" applyNumberFormat="0" applyBorder="0" applyAlignment="0" applyProtection="0"/>
    <xf numFmtId="0" fontId="1" fillId="6" borderId="0" applyNumberFormat="0" applyBorder="0" applyAlignment="0" applyProtection="0"/>
  </cellStyleXfs>
  <cellXfs count="49">
    <xf numFmtId="0" fontId="0" fillId="0" borderId="0" xfId="0"/>
    <xf numFmtId="0" fontId="3" fillId="0" borderId="0" xfId="0" applyFont="1" applyAlignment="1">
      <alignment vertical="center"/>
    </xf>
    <xf numFmtId="0" fontId="2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9" fontId="0" fillId="0" borderId="2" xfId="0" applyNumberFormat="1" applyBorder="1" applyAlignment="1">
      <alignment horizontal="center" vertical="center"/>
    </xf>
    <xf numFmtId="9" fontId="0" fillId="0" borderId="2" xfId="1" applyFont="1" applyBorder="1" applyAlignment="1">
      <alignment horizontal="center" vertical="center"/>
    </xf>
    <xf numFmtId="9" fontId="0" fillId="0" borderId="1" xfId="1" applyFont="1" applyBorder="1" applyAlignment="1">
      <alignment horizontal="center" vertical="center"/>
    </xf>
    <xf numFmtId="9" fontId="0" fillId="0" borderId="1" xfId="1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14" fontId="0" fillId="0" borderId="2" xfId="0" applyNumberFormat="1" applyBorder="1" applyAlignment="1">
      <alignment horizontal="center" vertical="center"/>
    </xf>
    <xf numFmtId="14" fontId="0" fillId="0" borderId="3" xfId="0" applyNumberFormat="1" applyBorder="1" applyAlignment="1">
      <alignment horizontal="center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2" fillId="2" borderId="7" xfId="0" applyFont="1" applyFill="1" applyBorder="1" applyAlignment="1">
      <alignment horizontal="center"/>
    </xf>
    <xf numFmtId="0" fontId="2" fillId="3" borderId="7" xfId="0" applyFont="1" applyFill="1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1" fillId="6" borderId="1" xfId="4" applyBorder="1" applyAlignment="1">
      <alignment horizontal="center" vertical="center"/>
    </xf>
    <xf numFmtId="0" fontId="1" fillId="5" borderId="1" xfId="3" applyBorder="1" applyAlignment="1">
      <alignment horizontal="center"/>
    </xf>
    <xf numFmtId="0" fontId="1" fillId="5" borderId="1" xfId="3" applyBorder="1" applyAlignment="1">
      <alignment horizontal="center" vertical="center"/>
    </xf>
    <xf numFmtId="0" fontId="1" fillId="5" borderId="1" xfId="3" applyBorder="1"/>
    <xf numFmtId="0" fontId="1" fillId="4" borderId="1" xfId="2" applyBorder="1" applyAlignment="1">
      <alignment horizontal="center" vertical="center"/>
    </xf>
    <xf numFmtId="0" fontId="1" fillId="4" borderId="2" xfId="2" applyBorder="1" applyAlignment="1">
      <alignment horizontal="center" vertical="center"/>
    </xf>
    <xf numFmtId="0" fontId="1" fillId="4" borderId="3" xfId="2" applyBorder="1" applyAlignment="1">
      <alignment horizontal="center" vertical="center"/>
    </xf>
    <xf numFmtId="14" fontId="1" fillId="4" borderId="2" xfId="2" applyNumberFormat="1" applyBorder="1" applyAlignment="1">
      <alignment horizontal="center" vertical="center"/>
    </xf>
    <xf numFmtId="9" fontId="1" fillId="4" borderId="1" xfId="2" applyNumberFormat="1" applyBorder="1" applyAlignment="1">
      <alignment horizontal="center" vertical="center"/>
    </xf>
    <xf numFmtId="0" fontId="1" fillId="4" borderId="4" xfId="2" applyBorder="1" applyAlignment="1">
      <alignment horizontal="center" vertical="center"/>
    </xf>
    <xf numFmtId="0" fontId="1" fillId="4" borderId="1" xfId="2" applyBorder="1" applyAlignment="1">
      <alignment horizontal="center" vertical="center"/>
    </xf>
    <xf numFmtId="14" fontId="1" fillId="4" borderId="3" xfId="2" applyNumberFormat="1" applyBorder="1" applyAlignment="1">
      <alignment horizontal="center" vertical="center"/>
    </xf>
    <xf numFmtId="9" fontId="1" fillId="4" borderId="2" xfId="2" applyNumberFormat="1" applyBorder="1" applyAlignment="1">
      <alignment horizontal="center" vertical="center"/>
    </xf>
    <xf numFmtId="0" fontId="0" fillId="0" borderId="0" xfId="0"/>
    <xf numFmtId="0" fontId="0" fillId="0" borderId="13" xfId="0" applyFill="1" applyBorder="1" applyAlignment="1">
      <alignment horizontal="center" vertical="center"/>
    </xf>
    <xf numFmtId="0" fontId="1" fillId="4" borderId="1" xfId="2" applyBorder="1" applyAlignment="1">
      <alignment horizontal="center"/>
    </xf>
    <xf numFmtId="0" fontId="2" fillId="4" borderId="1" xfId="2" applyFont="1" applyBorder="1"/>
    <xf numFmtId="0" fontId="2" fillId="0" borderId="1" xfId="0" applyFont="1" applyBorder="1"/>
    <xf numFmtId="0" fontId="0" fillId="0" borderId="1" xfId="0" applyBorder="1" applyAlignment="1">
      <alignment horizontal="center"/>
    </xf>
    <xf numFmtId="9" fontId="1" fillId="4" borderId="1" xfId="2" applyNumberFormat="1" applyBorder="1" applyAlignment="1">
      <alignment horizontal="center"/>
    </xf>
    <xf numFmtId="0" fontId="0" fillId="4" borderId="1" xfId="2" applyFont="1" applyBorder="1" applyAlignment="1">
      <alignment horizontal="center"/>
    </xf>
  </cellXfs>
  <cellStyles count="5">
    <cellStyle name="20% - Accent5" xfId="2" builtinId="46"/>
    <cellStyle name="40% - Accent5" xfId="3" builtinId="47"/>
    <cellStyle name="60% - Accent5" xfId="4" builtinId="48"/>
    <cellStyle name="Normal" xfId="0" builtinId="0"/>
    <cellStyle name="Percent" xfId="1" builtinId="5"/>
  </cellStyles>
  <dxfs count="38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6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6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6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6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6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6" tint="0.39994506668294322"/>
        </patternFill>
      </fill>
    </dxf>
    <dxf>
      <fill>
        <patternFill>
          <bgColor rgb="FFFF0000"/>
        </patternFill>
      </fill>
    </dxf>
    <dxf>
      <fill>
        <patternFill>
          <bgColor theme="5"/>
        </patternFill>
      </fill>
    </dxf>
    <dxf>
      <fill>
        <patternFill>
          <bgColor theme="6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6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b/>
        <i val="0"/>
      </font>
      <fill>
        <patternFill>
          <bgColor theme="6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C74A6-3D3A-4AD8-9FDC-18AB325F5BF5}">
  <dimension ref="A1:W53"/>
  <sheetViews>
    <sheetView tabSelected="1" zoomScaleNormal="100" workbookViewId="0">
      <selection activeCell="J7" sqref="J7"/>
    </sheetView>
  </sheetViews>
  <sheetFormatPr defaultRowHeight="14.4" x14ac:dyDescent="0.3"/>
  <cols>
    <col min="2" max="2" width="22.44140625" customWidth="1"/>
    <col min="3" max="3" width="22.5546875" customWidth="1"/>
    <col min="10" max="10" width="16.44140625" bestFit="1" customWidth="1"/>
    <col min="11" max="11" width="14.44140625" customWidth="1"/>
    <col min="12" max="12" width="14.88671875" customWidth="1"/>
  </cols>
  <sheetData>
    <row r="1" spans="1:23" ht="14.4" customHeight="1" x14ac:dyDescent="0.3">
      <c r="A1" s="28" t="s">
        <v>0</v>
      </c>
      <c r="B1" s="28"/>
      <c r="C1" s="28"/>
      <c r="D1" s="28"/>
      <c r="E1" s="28"/>
      <c r="F1" s="28"/>
      <c r="G1" s="28"/>
      <c r="H1" s="28"/>
      <c r="I1" s="28"/>
      <c r="J1" s="28"/>
      <c r="K1" s="28"/>
      <c r="L1" s="28"/>
      <c r="M1" s="28"/>
      <c r="N1" s="28"/>
      <c r="O1" s="28"/>
      <c r="P1" s="28"/>
      <c r="Q1" s="1"/>
      <c r="R1" s="1"/>
      <c r="S1" s="1"/>
      <c r="T1" s="1"/>
      <c r="U1" s="1"/>
      <c r="V1" s="1"/>
      <c r="W1" s="1"/>
    </row>
    <row r="2" spans="1:23" ht="14.4" customHeight="1" x14ac:dyDescent="0.3">
      <c r="A2" s="28"/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1"/>
      <c r="R2" s="1"/>
      <c r="S2" s="1"/>
      <c r="T2" s="1"/>
      <c r="U2" s="1"/>
      <c r="V2" s="1"/>
      <c r="W2" s="1"/>
    </row>
    <row r="3" spans="1:23" x14ac:dyDescent="0.3">
      <c r="A3" s="31"/>
      <c r="B3" s="29" t="s">
        <v>1</v>
      </c>
      <c r="C3" s="29"/>
      <c r="D3" s="29" t="s">
        <v>2</v>
      </c>
      <c r="E3" s="29"/>
      <c r="F3" s="29" t="s">
        <v>3</v>
      </c>
      <c r="G3" s="29"/>
      <c r="H3" s="29" t="s">
        <v>4</v>
      </c>
      <c r="I3" s="29"/>
      <c r="J3" s="30" t="s">
        <v>5</v>
      </c>
      <c r="K3" s="29" t="s">
        <v>6</v>
      </c>
      <c r="L3" s="29"/>
      <c r="M3" s="29" t="s">
        <v>7</v>
      </c>
      <c r="N3" s="29"/>
      <c r="O3" s="29"/>
      <c r="P3" s="29"/>
      <c r="Q3" s="2"/>
      <c r="R3" s="2"/>
      <c r="S3" s="2"/>
      <c r="T3" s="2"/>
      <c r="U3" s="2"/>
      <c r="V3" s="2"/>
      <c r="W3" s="2"/>
    </row>
    <row r="4" spans="1:23" x14ac:dyDescent="0.3">
      <c r="A4" s="32" t="s">
        <v>8</v>
      </c>
      <c r="B4" s="33" t="s">
        <v>9</v>
      </c>
      <c r="C4" s="34"/>
      <c r="D4" s="35"/>
      <c r="E4" s="34"/>
      <c r="F4" s="33"/>
      <c r="G4" s="34"/>
      <c r="H4" s="33">
        <f>SUM(H5:I7)</f>
        <v>3</v>
      </c>
      <c r="I4" s="34"/>
      <c r="J4" s="36">
        <f>AVERAGE(J5:J7)</f>
        <v>0.83333333333333337</v>
      </c>
      <c r="K4" s="33"/>
      <c r="L4" s="34"/>
      <c r="M4" s="33"/>
      <c r="N4" s="37"/>
      <c r="O4" s="37"/>
      <c r="P4" s="34"/>
      <c r="Q4" s="2"/>
      <c r="R4" s="2"/>
      <c r="S4" s="2"/>
      <c r="T4" s="2"/>
      <c r="U4" s="2"/>
      <c r="V4" s="2"/>
      <c r="W4" s="2"/>
    </row>
    <row r="5" spans="1:23" x14ac:dyDescent="0.3">
      <c r="A5" s="3" t="s">
        <v>10</v>
      </c>
      <c r="B5" s="14" t="s">
        <v>11</v>
      </c>
      <c r="C5" s="15"/>
      <c r="D5" s="17"/>
      <c r="E5" s="18"/>
      <c r="F5" s="17"/>
      <c r="G5" s="15"/>
      <c r="H5" s="14">
        <v>3</v>
      </c>
      <c r="I5" s="15"/>
      <c r="J5" s="8">
        <v>1</v>
      </c>
      <c r="K5" s="14" t="s">
        <v>125</v>
      </c>
      <c r="L5" s="15"/>
      <c r="M5" s="14"/>
      <c r="N5" s="16"/>
      <c r="O5" s="16"/>
      <c r="P5" s="15"/>
      <c r="Q5" s="2"/>
      <c r="R5" s="2"/>
      <c r="S5" s="2"/>
      <c r="T5" s="2"/>
      <c r="U5" s="2"/>
      <c r="V5" s="2"/>
      <c r="W5" s="2"/>
    </row>
    <row r="6" spans="1:23" x14ac:dyDescent="0.3">
      <c r="A6" s="3" t="s">
        <v>12</v>
      </c>
      <c r="B6" s="14" t="s">
        <v>13</v>
      </c>
      <c r="C6" s="15"/>
      <c r="D6" s="17"/>
      <c r="E6" s="18"/>
      <c r="F6" s="17"/>
      <c r="G6" s="18"/>
      <c r="H6" s="14"/>
      <c r="I6" s="15"/>
      <c r="J6" s="8">
        <v>1</v>
      </c>
      <c r="K6" s="14" t="s">
        <v>126</v>
      </c>
      <c r="L6" s="15"/>
      <c r="M6" s="14" t="s">
        <v>127</v>
      </c>
      <c r="N6" s="16"/>
      <c r="O6" s="16"/>
      <c r="P6" s="15"/>
      <c r="Q6" s="2"/>
      <c r="R6" s="2"/>
      <c r="S6" s="2"/>
      <c r="T6" s="2"/>
      <c r="U6" s="2"/>
      <c r="V6" s="2"/>
      <c r="W6" s="2"/>
    </row>
    <row r="7" spans="1:23" x14ac:dyDescent="0.3">
      <c r="A7" s="3" t="s">
        <v>14</v>
      </c>
      <c r="B7" s="14" t="s">
        <v>15</v>
      </c>
      <c r="C7" s="15"/>
      <c r="D7" s="17"/>
      <c r="E7" s="18"/>
      <c r="F7" s="17"/>
      <c r="G7" s="15"/>
      <c r="H7" s="14"/>
      <c r="I7" s="15"/>
      <c r="J7" s="8">
        <v>0.5</v>
      </c>
      <c r="K7" s="14" t="s">
        <v>125</v>
      </c>
      <c r="L7" s="15"/>
      <c r="M7" s="14"/>
      <c r="N7" s="16"/>
      <c r="O7" s="16"/>
      <c r="P7" s="15"/>
      <c r="Q7" s="2"/>
      <c r="R7" s="2"/>
      <c r="S7" s="2"/>
      <c r="T7" s="2"/>
      <c r="U7" s="2"/>
      <c r="V7" s="2"/>
      <c r="W7" s="2"/>
    </row>
    <row r="8" spans="1:23" x14ac:dyDescent="0.3">
      <c r="A8" s="32" t="s">
        <v>16</v>
      </c>
      <c r="B8" s="33" t="s">
        <v>17</v>
      </c>
      <c r="C8" s="34"/>
      <c r="D8" s="35"/>
      <c r="E8" s="34"/>
      <c r="F8" s="35"/>
      <c r="G8" s="34"/>
      <c r="H8" s="33">
        <f>SUM(H9,H10,H11,H12,H13,H14)</f>
        <v>0</v>
      </c>
      <c r="I8" s="34"/>
      <c r="J8" s="36">
        <f>AVERAGE(J9:J14)</f>
        <v>0</v>
      </c>
      <c r="K8" s="38"/>
      <c r="L8" s="38"/>
      <c r="M8" s="33"/>
      <c r="N8" s="37"/>
      <c r="O8" s="37"/>
      <c r="P8" s="34"/>
    </row>
    <row r="9" spans="1:23" x14ac:dyDescent="0.3">
      <c r="A9" s="3" t="s">
        <v>18</v>
      </c>
      <c r="B9" s="14" t="s">
        <v>128</v>
      </c>
      <c r="C9" s="15"/>
      <c r="D9" s="14"/>
      <c r="E9" s="15"/>
      <c r="F9" s="17"/>
      <c r="G9" s="18"/>
      <c r="H9" s="14"/>
      <c r="I9" s="15"/>
      <c r="J9" s="5">
        <v>0</v>
      </c>
      <c r="K9" s="42" t="s">
        <v>125</v>
      </c>
      <c r="L9" s="42"/>
      <c r="M9" s="14"/>
      <c r="N9" s="16"/>
      <c r="O9" s="16"/>
      <c r="P9" s="15"/>
    </row>
    <row r="10" spans="1:23" x14ac:dyDescent="0.3">
      <c r="A10" s="3" t="s">
        <v>20</v>
      </c>
      <c r="B10" s="14" t="s">
        <v>21</v>
      </c>
      <c r="C10" s="15"/>
      <c r="D10" s="14"/>
      <c r="E10" s="15"/>
      <c r="F10" s="17"/>
      <c r="G10" s="18"/>
      <c r="H10" s="14"/>
      <c r="I10" s="15"/>
      <c r="J10" s="5">
        <v>0</v>
      </c>
      <c r="K10" s="14" t="s">
        <v>126</v>
      </c>
      <c r="L10" s="15"/>
      <c r="M10" s="14"/>
      <c r="N10" s="16"/>
      <c r="O10" s="16"/>
      <c r="P10" s="15"/>
    </row>
    <row r="11" spans="1:23" x14ac:dyDescent="0.3">
      <c r="A11" s="3" t="s">
        <v>22</v>
      </c>
      <c r="B11" s="14" t="s">
        <v>23</v>
      </c>
      <c r="C11" s="15"/>
      <c r="D11" s="14"/>
      <c r="E11" s="15"/>
      <c r="F11" s="17"/>
      <c r="G11" s="18"/>
      <c r="H11" s="14"/>
      <c r="I11" s="15"/>
      <c r="J11" s="5">
        <v>0</v>
      </c>
      <c r="K11" s="41"/>
      <c r="L11" s="41"/>
      <c r="M11" s="14"/>
      <c r="N11" s="16"/>
      <c r="O11" s="16"/>
      <c r="P11" s="15"/>
    </row>
    <row r="12" spans="1:23" x14ac:dyDescent="0.3">
      <c r="A12" s="3" t="s">
        <v>24</v>
      </c>
      <c r="B12" s="14" t="s">
        <v>25</v>
      </c>
      <c r="C12" s="15"/>
      <c r="D12" s="14"/>
      <c r="E12" s="15"/>
      <c r="F12" s="17"/>
      <c r="G12" s="18"/>
      <c r="H12" s="14"/>
      <c r="I12" s="15"/>
      <c r="J12" s="5">
        <v>0</v>
      </c>
      <c r="K12" s="14"/>
      <c r="L12" s="15"/>
      <c r="M12" s="14"/>
      <c r="N12" s="16"/>
      <c r="O12" s="16"/>
      <c r="P12" s="15"/>
    </row>
    <row r="13" spans="1:23" x14ac:dyDescent="0.3">
      <c r="A13" s="3" t="s">
        <v>26</v>
      </c>
      <c r="B13" s="14" t="s">
        <v>129</v>
      </c>
      <c r="C13" s="15"/>
      <c r="D13" s="14"/>
      <c r="E13" s="15"/>
      <c r="F13" s="17"/>
      <c r="G13" s="18"/>
      <c r="H13" s="14"/>
      <c r="I13" s="15"/>
      <c r="J13" s="5">
        <v>0</v>
      </c>
      <c r="K13" s="14"/>
      <c r="L13" s="15"/>
      <c r="M13" s="14"/>
      <c r="N13" s="16"/>
      <c r="O13" s="16"/>
      <c r="P13" s="15"/>
    </row>
    <row r="14" spans="1:23" x14ac:dyDescent="0.3">
      <c r="A14" s="3" t="s">
        <v>28</v>
      </c>
      <c r="B14" s="14" t="s">
        <v>29</v>
      </c>
      <c r="C14" s="15"/>
      <c r="D14" s="14"/>
      <c r="E14" s="15"/>
      <c r="F14" s="17"/>
      <c r="G14" s="18"/>
      <c r="H14" s="14"/>
      <c r="I14" s="15"/>
      <c r="J14" s="5">
        <v>0</v>
      </c>
      <c r="K14" s="14"/>
      <c r="L14" s="15"/>
      <c r="M14" s="14"/>
      <c r="N14" s="16"/>
      <c r="O14" s="16"/>
      <c r="P14" s="15"/>
    </row>
    <row r="15" spans="1:23" x14ac:dyDescent="0.3">
      <c r="A15" s="32" t="s">
        <v>30</v>
      </c>
      <c r="B15" s="33" t="s">
        <v>31</v>
      </c>
      <c r="C15" s="34"/>
      <c r="D15" s="33"/>
      <c r="E15" s="34"/>
      <c r="F15" s="35"/>
      <c r="G15" s="39"/>
      <c r="H15" s="33">
        <f>SUM(H16,H17:I21)</f>
        <v>0</v>
      </c>
      <c r="I15" s="34"/>
      <c r="J15" s="40">
        <f>AVERAGE(J16:J21)</f>
        <v>0</v>
      </c>
      <c r="K15" s="33"/>
      <c r="L15" s="34"/>
      <c r="M15" s="33"/>
      <c r="N15" s="37"/>
      <c r="O15" s="37"/>
      <c r="P15" s="34"/>
    </row>
    <row r="16" spans="1:23" x14ac:dyDescent="0.3">
      <c r="A16" s="3" t="s">
        <v>32</v>
      </c>
      <c r="B16" s="14" t="s">
        <v>19</v>
      </c>
      <c r="C16" s="15"/>
      <c r="D16" s="14"/>
      <c r="E16" s="15"/>
      <c r="F16" s="17"/>
      <c r="G16" s="18"/>
      <c r="H16" s="14"/>
      <c r="I16" s="15"/>
      <c r="J16" s="5">
        <v>0</v>
      </c>
      <c r="K16" s="14"/>
      <c r="L16" s="15"/>
      <c r="M16" s="14"/>
      <c r="N16" s="16"/>
      <c r="O16" s="16"/>
      <c r="P16" s="15"/>
    </row>
    <row r="17" spans="1:16" x14ac:dyDescent="0.3">
      <c r="A17" s="3" t="s">
        <v>33</v>
      </c>
      <c r="B17" s="14" t="s">
        <v>21</v>
      </c>
      <c r="C17" s="15"/>
      <c r="D17" s="14"/>
      <c r="E17" s="15"/>
      <c r="F17" s="17"/>
      <c r="G17" s="18"/>
      <c r="H17" s="14"/>
      <c r="I17" s="15"/>
      <c r="J17" s="5">
        <v>0</v>
      </c>
      <c r="K17" s="14"/>
      <c r="L17" s="15"/>
      <c r="M17" s="14"/>
      <c r="N17" s="16"/>
      <c r="O17" s="16"/>
      <c r="P17" s="15"/>
    </row>
    <row r="18" spans="1:16" x14ac:dyDescent="0.3">
      <c r="A18" s="3" t="s">
        <v>34</v>
      </c>
      <c r="B18" s="14" t="s">
        <v>23</v>
      </c>
      <c r="C18" s="15"/>
      <c r="D18" s="14"/>
      <c r="E18" s="15"/>
      <c r="F18" s="17"/>
      <c r="G18" s="18"/>
      <c r="H18" s="14"/>
      <c r="I18" s="15"/>
      <c r="J18" s="5">
        <v>0</v>
      </c>
      <c r="K18" s="14"/>
      <c r="L18" s="15"/>
      <c r="M18" s="14"/>
      <c r="N18" s="16"/>
      <c r="O18" s="16"/>
      <c r="P18" s="15"/>
    </row>
    <row r="19" spans="1:16" x14ac:dyDescent="0.3">
      <c r="A19" s="3" t="s">
        <v>35</v>
      </c>
      <c r="B19" s="14" t="s">
        <v>25</v>
      </c>
      <c r="C19" s="15"/>
      <c r="D19" s="14"/>
      <c r="E19" s="15"/>
      <c r="F19" s="17"/>
      <c r="G19" s="18"/>
      <c r="H19" s="14"/>
      <c r="I19" s="15"/>
      <c r="J19" s="5">
        <v>0</v>
      </c>
      <c r="K19" s="14"/>
      <c r="L19" s="15"/>
      <c r="M19" s="14"/>
      <c r="N19" s="16"/>
      <c r="O19" s="16"/>
      <c r="P19" s="15"/>
    </row>
    <row r="20" spans="1:16" x14ac:dyDescent="0.3">
      <c r="A20" s="3" t="s">
        <v>36</v>
      </c>
      <c r="B20" s="14" t="s">
        <v>27</v>
      </c>
      <c r="C20" s="15"/>
      <c r="D20" s="14"/>
      <c r="E20" s="15"/>
      <c r="F20" s="17"/>
      <c r="G20" s="18"/>
      <c r="H20" s="14"/>
      <c r="I20" s="15"/>
      <c r="J20" s="5">
        <v>0</v>
      </c>
      <c r="K20" s="14"/>
      <c r="L20" s="15"/>
      <c r="M20" s="14"/>
      <c r="N20" s="16"/>
      <c r="O20" s="16"/>
      <c r="P20" s="15"/>
    </row>
    <row r="21" spans="1:16" x14ac:dyDescent="0.3">
      <c r="A21" s="3" t="s">
        <v>37</v>
      </c>
      <c r="B21" s="14" t="s">
        <v>29</v>
      </c>
      <c r="C21" s="15"/>
      <c r="D21" s="14"/>
      <c r="E21" s="15"/>
      <c r="F21" s="17"/>
      <c r="G21" s="18"/>
      <c r="H21" s="14"/>
      <c r="I21" s="15"/>
      <c r="J21" s="5">
        <v>0</v>
      </c>
      <c r="K21" s="14"/>
      <c r="L21" s="15"/>
      <c r="M21" s="14"/>
      <c r="N21" s="16"/>
      <c r="O21" s="16"/>
      <c r="P21" s="15"/>
    </row>
    <row r="22" spans="1:16" x14ac:dyDescent="0.3">
      <c r="A22" s="32" t="s">
        <v>38</v>
      </c>
      <c r="B22" s="33" t="s">
        <v>39</v>
      </c>
      <c r="C22" s="34"/>
      <c r="D22" s="33"/>
      <c r="E22" s="34"/>
      <c r="F22" s="35"/>
      <c r="G22" s="39"/>
      <c r="H22" s="33"/>
      <c r="I22" s="34"/>
      <c r="J22" s="36">
        <v>0</v>
      </c>
      <c r="K22" s="33"/>
      <c r="L22" s="34"/>
      <c r="M22" s="33"/>
      <c r="N22" s="37"/>
      <c r="O22" s="37"/>
      <c r="P22" s="34"/>
    </row>
    <row r="23" spans="1:16" x14ac:dyDescent="0.3">
      <c r="A23" s="32" t="s">
        <v>40</v>
      </c>
      <c r="B23" s="33" t="s">
        <v>41</v>
      </c>
      <c r="C23" s="34"/>
      <c r="D23" s="33"/>
      <c r="E23" s="34"/>
      <c r="F23" s="35"/>
      <c r="G23" s="39"/>
      <c r="H23" s="33">
        <f>SUM(H24:I29)</f>
        <v>0</v>
      </c>
      <c r="I23" s="34"/>
      <c r="J23" s="36">
        <f>AVERAGE(J24:J29)</f>
        <v>0</v>
      </c>
      <c r="K23" s="33"/>
      <c r="L23" s="34"/>
      <c r="M23" s="33"/>
      <c r="N23" s="37"/>
      <c r="O23" s="37"/>
      <c r="P23" s="34"/>
    </row>
    <row r="24" spans="1:16" x14ac:dyDescent="0.3">
      <c r="A24" s="3" t="s">
        <v>42</v>
      </c>
      <c r="B24" s="14" t="s">
        <v>43</v>
      </c>
      <c r="C24" s="15"/>
      <c r="D24" s="14"/>
      <c r="E24" s="15"/>
      <c r="F24" s="17"/>
      <c r="G24" s="18"/>
      <c r="H24" s="14"/>
      <c r="I24" s="15"/>
      <c r="J24" s="5">
        <v>0</v>
      </c>
      <c r="K24" s="14"/>
      <c r="L24" s="15"/>
      <c r="M24" s="14"/>
      <c r="N24" s="16"/>
      <c r="O24" s="16"/>
      <c r="P24" s="15"/>
    </row>
    <row r="25" spans="1:16" x14ac:dyDescent="0.3">
      <c r="A25" s="3" t="s">
        <v>44</v>
      </c>
      <c r="B25" s="14" t="s">
        <v>45</v>
      </c>
      <c r="C25" s="15"/>
      <c r="D25" s="14"/>
      <c r="E25" s="15"/>
      <c r="F25" s="17"/>
      <c r="G25" s="18"/>
      <c r="H25" s="14"/>
      <c r="I25" s="15"/>
      <c r="J25" s="5">
        <v>0</v>
      </c>
      <c r="K25" s="14"/>
      <c r="L25" s="15"/>
      <c r="M25" s="14"/>
      <c r="N25" s="16"/>
      <c r="O25" s="16"/>
      <c r="P25" s="15"/>
    </row>
    <row r="26" spans="1:16" x14ac:dyDescent="0.3">
      <c r="A26" s="3" t="s">
        <v>46</v>
      </c>
      <c r="B26" s="14" t="s">
        <v>47</v>
      </c>
      <c r="C26" s="15"/>
      <c r="D26" s="14"/>
      <c r="E26" s="15"/>
      <c r="F26" s="17"/>
      <c r="G26" s="18"/>
      <c r="H26" s="14"/>
      <c r="I26" s="15"/>
      <c r="J26" s="5">
        <v>0</v>
      </c>
      <c r="K26" s="14"/>
      <c r="L26" s="15"/>
      <c r="M26" s="14"/>
      <c r="N26" s="16"/>
      <c r="O26" s="16"/>
      <c r="P26" s="15"/>
    </row>
    <row r="27" spans="1:16" x14ac:dyDescent="0.3">
      <c r="A27" s="3" t="s">
        <v>48</v>
      </c>
      <c r="B27" s="14" t="s">
        <v>49</v>
      </c>
      <c r="C27" s="15"/>
      <c r="D27" s="14"/>
      <c r="E27" s="15"/>
      <c r="F27" s="17"/>
      <c r="G27" s="18"/>
      <c r="H27" s="14"/>
      <c r="I27" s="15"/>
      <c r="J27" s="5">
        <v>0</v>
      </c>
      <c r="K27" s="14"/>
      <c r="L27" s="15"/>
      <c r="M27" s="14"/>
      <c r="N27" s="16"/>
      <c r="O27" s="16"/>
      <c r="P27" s="15"/>
    </row>
    <row r="28" spans="1:16" x14ac:dyDescent="0.3">
      <c r="A28" s="3" t="s">
        <v>50</v>
      </c>
      <c r="B28" s="14" t="s">
        <v>51</v>
      </c>
      <c r="C28" s="15"/>
      <c r="D28" s="14"/>
      <c r="E28" s="15"/>
      <c r="F28" s="17"/>
      <c r="G28" s="18"/>
      <c r="H28" s="14"/>
      <c r="I28" s="15"/>
      <c r="J28" s="5">
        <v>0</v>
      </c>
      <c r="K28" s="14"/>
      <c r="L28" s="15"/>
      <c r="M28" s="14"/>
      <c r="N28" s="16"/>
      <c r="O28" s="16"/>
      <c r="P28" s="15"/>
    </row>
    <row r="29" spans="1:16" x14ac:dyDescent="0.3">
      <c r="A29" s="3" t="s">
        <v>52</v>
      </c>
      <c r="B29" s="14" t="s">
        <v>53</v>
      </c>
      <c r="C29" s="15"/>
      <c r="D29" s="14"/>
      <c r="E29" s="15"/>
      <c r="F29" s="17"/>
      <c r="G29" s="18"/>
      <c r="H29" s="14"/>
      <c r="I29" s="15"/>
      <c r="J29" s="5">
        <v>0</v>
      </c>
      <c r="K29" s="14"/>
      <c r="L29" s="15"/>
      <c r="M29" s="14"/>
      <c r="N29" s="16"/>
      <c r="O29" s="16"/>
      <c r="P29" s="15"/>
    </row>
    <row r="30" spans="1:16" x14ac:dyDescent="0.3">
      <c r="A30" s="32" t="s">
        <v>54</v>
      </c>
      <c r="B30" s="33" t="s">
        <v>55</v>
      </c>
      <c r="C30" s="34"/>
      <c r="D30" s="33"/>
      <c r="E30" s="34"/>
      <c r="F30" s="35"/>
      <c r="G30" s="39"/>
      <c r="H30" s="33">
        <f>SUM(H4,H8,H15,H23)</f>
        <v>3</v>
      </c>
      <c r="I30" s="34"/>
      <c r="J30" s="40">
        <f>AVERAGE(J31:J34)</f>
        <v>0</v>
      </c>
      <c r="K30" s="33"/>
      <c r="L30" s="34"/>
      <c r="M30" s="33"/>
      <c r="N30" s="37"/>
      <c r="O30" s="37"/>
      <c r="P30" s="34"/>
    </row>
    <row r="31" spans="1:16" x14ac:dyDescent="0.3">
      <c r="A31" s="3" t="s">
        <v>56</v>
      </c>
      <c r="B31" s="14" t="s">
        <v>57</v>
      </c>
      <c r="C31" s="15"/>
      <c r="D31" s="14"/>
      <c r="E31" s="15"/>
      <c r="F31" s="17"/>
      <c r="G31" s="18"/>
      <c r="H31" s="14"/>
      <c r="I31" s="15"/>
      <c r="J31" s="5">
        <v>0</v>
      </c>
      <c r="K31" s="14"/>
      <c r="L31" s="15"/>
      <c r="M31" s="14"/>
      <c r="N31" s="16"/>
      <c r="O31" s="16"/>
      <c r="P31" s="15"/>
    </row>
    <row r="32" spans="1:16" x14ac:dyDescent="0.3">
      <c r="A32" s="3" t="s">
        <v>58</v>
      </c>
      <c r="B32" s="14" t="s">
        <v>59</v>
      </c>
      <c r="C32" s="15"/>
      <c r="D32" s="14"/>
      <c r="E32" s="15"/>
      <c r="F32" s="17"/>
      <c r="G32" s="18"/>
      <c r="H32" s="14"/>
      <c r="I32" s="15"/>
      <c r="J32" s="5">
        <v>0</v>
      </c>
      <c r="K32" s="14"/>
      <c r="L32" s="15"/>
      <c r="M32" s="14"/>
      <c r="N32" s="16"/>
      <c r="O32" s="16"/>
      <c r="P32" s="15"/>
    </row>
    <row r="33" spans="1:16" x14ac:dyDescent="0.3">
      <c r="A33" s="3" t="s">
        <v>60</v>
      </c>
      <c r="B33" s="14" t="s">
        <v>61</v>
      </c>
      <c r="C33" s="15"/>
      <c r="D33" s="14"/>
      <c r="E33" s="15"/>
      <c r="F33" s="17"/>
      <c r="G33" s="18"/>
      <c r="H33" s="14"/>
      <c r="I33" s="15"/>
      <c r="J33" s="5">
        <v>0</v>
      </c>
      <c r="K33" s="14"/>
      <c r="L33" s="15"/>
      <c r="M33" s="14"/>
      <c r="N33" s="16"/>
      <c r="O33" s="16"/>
      <c r="P33" s="15"/>
    </row>
    <row r="34" spans="1:16" x14ac:dyDescent="0.3">
      <c r="A34" s="3" t="s">
        <v>62</v>
      </c>
      <c r="B34" s="14" t="s">
        <v>63</v>
      </c>
      <c r="C34" s="15"/>
      <c r="D34" s="14"/>
      <c r="E34" s="15"/>
      <c r="F34" s="17"/>
      <c r="G34" s="18"/>
      <c r="H34" s="14"/>
      <c r="I34" s="15"/>
      <c r="J34" s="5">
        <v>0</v>
      </c>
      <c r="K34" s="14"/>
      <c r="L34" s="15"/>
      <c r="M34" s="14"/>
      <c r="N34" s="16"/>
      <c r="O34" s="16"/>
      <c r="P34" s="15"/>
    </row>
    <row r="35" spans="1:16" x14ac:dyDescent="0.3">
      <c r="A35" s="32">
        <v>5</v>
      </c>
      <c r="B35" s="33" t="s">
        <v>64</v>
      </c>
      <c r="C35" s="34"/>
      <c r="D35" s="33"/>
      <c r="E35" s="34"/>
      <c r="F35" s="35"/>
      <c r="G35" s="39"/>
      <c r="H35" s="33">
        <f>SUM(H36:I39)</f>
        <v>0</v>
      </c>
      <c r="I35" s="34"/>
      <c r="J35" s="40">
        <f>AVERAGE(J36:J39)</f>
        <v>0</v>
      </c>
      <c r="K35" s="33"/>
      <c r="L35" s="34"/>
      <c r="M35" s="33"/>
      <c r="N35" s="37"/>
      <c r="O35" s="37"/>
      <c r="P35" s="34"/>
    </row>
    <row r="36" spans="1:16" x14ac:dyDescent="0.3">
      <c r="A36" s="3" t="s">
        <v>65</v>
      </c>
      <c r="B36" s="14" t="s">
        <v>66</v>
      </c>
      <c r="C36" s="15"/>
      <c r="D36" s="14"/>
      <c r="E36" s="15"/>
      <c r="F36" s="17"/>
      <c r="G36" s="18"/>
      <c r="H36" s="14"/>
      <c r="I36" s="15"/>
      <c r="J36" s="6">
        <v>0</v>
      </c>
      <c r="K36" s="14"/>
      <c r="L36" s="15"/>
      <c r="M36" s="14"/>
      <c r="N36" s="16"/>
      <c r="O36" s="16"/>
      <c r="P36" s="15"/>
    </row>
    <row r="37" spans="1:16" x14ac:dyDescent="0.3">
      <c r="A37" s="4" t="s">
        <v>67</v>
      </c>
      <c r="B37" s="14" t="s">
        <v>68</v>
      </c>
      <c r="C37" s="15"/>
      <c r="D37" s="14"/>
      <c r="E37" s="15"/>
      <c r="F37" s="17"/>
      <c r="G37" s="18"/>
      <c r="H37" s="14"/>
      <c r="I37" s="15"/>
      <c r="J37" s="6">
        <v>0</v>
      </c>
      <c r="K37" s="14"/>
      <c r="L37" s="15"/>
      <c r="M37" s="14"/>
      <c r="N37" s="16"/>
      <c r="O37" s="16"/>
      <c r="P37" s="15"/>
    </row>
    <row r="38" spans="1:16" x14ac:dyDescent="0.3">
      <c r="A38" s="3" t="s">
        <v>69</v>
      </c>
      <c r="B38" s="14" t="s">
        <v>68</v>
      </c>
      <c r="C38" s="15"/>
      <c r="D38" s="14"/>
      <c r="E38" s="15"/>
      <c r="F38" s="17"/>
      <c r="G38" s="18"/>
      <c r="H38" s="14"/>
      <c r="I38" s="15"/>
      <c r="J38" s="6">
        <v>0</v>
      </c>
      <c r="K38" s="14"/>
      <c r="L38" s="15"/>
      <c r="M38" s="14"/>
      <c r="N38" s="16"/>
      <c r="O38" s="16"/>
      <c r="P38" s="15"/>
    </row>
    <row r="39" spans="1:16" x14ac:dyDescent="0.3">
      <c r="A39" s="4" t="s">
        <v>70</v>
      </c>
      <c r="B39" s="14" t="s">
        <v>71</v>
      </c>
      <c r="C39" s="15"/>
      <c r="D39" s="14"/>
      <c r="E39" s="15"/>
      <c r="F39" s="17"/>
      <c r="G39" s="18"/>
      <c r="H39" s="14"/>
      <c r="I39" s="15"/>
      <c r="J39" s="6">
        <v>0</v>
      </c>
      <c r="K39" s="14"/>
      <c r="L39" s="15"/>
      <c r="M39" s="14"/>
      <c r="N39" s="16"/>
      <c r="O39" s="16"/>
      <c r="P39" s="15"/>
    </row>
    <row r="40" spans="1:16" x14ac:dyDescent="0.3">
      <c r="A40" s="32" t="s">
        <v>72</v>
      </c>
      <c r="B40" s="33" t="s">
        <v>73</v>
      </c>
      <c r="C40" s="34"/>
      <c r="D40" s="33"/>
      <c r="E40" s="34"/>
      <c r="F40" s="35"/>
      <c r="G40" s="39"/>
      <c r="H40" s="33">
        <f>SUM(H41:I45)</f>
        <v>0</v>
      </c>
      <c r="I40" s="34"/>
      <c r="J40" s="36">
        <f>AVERAGE(J41:J45)</f>
        <v>0</v>
      </c>
      <c r="K40" s="33"/>
      <c r="L40" s="34"/>
      <c r="M40" s="33"/>
      <c r="N40" s="37"/>
      <c r="O40" s="37"/>
      <c r="P40" s="34"/>
    </row>
    <row r="41" spans="1:16" x14ac:dyDescent="0.3">
      <c r="A41" s="3" t="s">
        <v>74</v>
      </c>
      <c r="B41" s="14" t="s">
        <v>75</v>
      </c>
      <c r="C41" s="15"/>
      <c r="D41" s="14"/>
      <c r="E41" s="15"/>
      <c r="F41" s="17"/>
      <c r="G41" s="18"/>
      <c r="H41" s="14"/>
      <c r="I41" s="15"/>
      <c r="J41" s="7">
        <v>0</v>
      </c>
      <c r="K41" s="14"/>
      <c r="L41" s="15"/>
      <c r="M41" s="14"/>
      <c r="N41" s="16"/>
      <c r="O41" s="16"/>
      <c r="P41" s="15"/>
    </row>
    <row r="42" spans="1:16" x14ac:dyDescent="0.3">
      <c r="A42" s="3" t="s">
        <v>76</v>
      </c>
      <c r="B42" s="14" t="s">
        <v>77</v>
      </c>
      <c r="C42" s="15"/>
      <c r="D42" s="14"/>
      <c r="E42" s="15"/>
      <c r="F42" s="17"/>
      <c r="G42" s="18"/>
      <c r="H42" s="14"/>
      <c r="I42" s="15"/>
      <c r="J42" s="7">
        <v>0</v>
      </c>
      <c r="K42" s="14"/>
      <c r="L42" s="15"/>
      <c r="M42" s="14"/>
      <c r="N42" s="16"/>
      <c r="O42" s="16"/>
      <c r="P42" s="15"/>
    </row>
    <row r="43" spans="1:16" x14ac:dyDescent="0.3">
      <c r="A43" s="3" t="s">
        <v>78</v>
      </c>
      <c r="B43" s="14" t="s">
        <v>79</v>
      </c>
      <c r="C43" s="15"/>
      <c r="D43" s="14"/>
      <c r="E43" s="15"/>
      <c r="F43" s="17"/>
      <c r="G43" s="18"/>
      <c r="H43" s="14"/>
      <c r="I43" s="15"/>
      <c r="J43" s="7">
        <v>0</v>
      </c>
      <c r="K43" s="14"/>
      <c r="L43" s="15"/>
      <c r="M43" s="14"/>
      <c r="N43" s="16"/>
      <c r="O43" s="16"/>
      <c r="P43" s="15"/>
    </row>
    <row r="44" spans="1:16" x14ac:dyDescent="0.3">
      <c r="A44" s="3" t="s">
        <v>80</v>
      </c>
      <c r="B44" s="14" t="s">
        <v>81</v>
      </c>
      <c r="C44" s="15"/>
      <c r="D44" s="14"/>
      <c r="E44" s="15"/>
      <c r="F44" s="17"/>
      <c r="G44" s="18"/>
      <c r="H44" s="14"/>
      <c r="I44" s="15"/>
      <c r="J44" s="7">
        <v>0</v>
      </c>
      <c r="K44" s="14"/>
      <c r="L44" s="15"/>
      <c r="M44" s="14"/>
      <c r="N44" s="16"/>
      <c r="O44" s="16"/>
      <c r="P44" s="15"/>
    </row>
    <row r="45" spans="1:16" x14ac:dyDescent="0.3">
      <c r="A45" s="3" t="s">
        <v>82</v>
      </c>
      <c r="B45" s="14" t="s">
        <v>83</v>
      </c>
      <c r="C45" s="15"/>
      <c r="D45" s="14"/>
      <c r="E45" s="15"/>
      <c r="F45" s="17"/>
      <c r="G45" s="18"/>
      <c r="H45" s="14"/>
      <c r="I45" s="15"/>
      <c r="J45" s="7">
        <v>0</v>
      </c>
      <c r="K45" s="14"/>
      <c r="L45" s="15"/>
      <c r="M45" s="14"/>
      <c r="N45" s="16"/>
      <c r="O45" s="16"/>
      <c r="P45" s="15"/>
    </row>
    <row r="46" spans="1:16" x14ac:dyDescent="0.3">
      <c r="A46" s="32">
        <v>7</v>
      </c>
      <c r="B46" s="33" t="s">
        <v>84</v>
      </c>
      <c r="C46" s="34"/>
      <c r="D46" s="33"/>
      <c r="E46" s="34"/>
      <c r="F46" s="35"/>
      <c r="G46" s="39"/>
      <c r="H46" s="33">
        <f>SUM(H47:I50)</f>
        <v>0</v>
      </c>
      <c r="I46" s="34"/>
      <c r="J46" s="36">
        <f>AVERAGE(J47:J50)</f>
        <v>0</v>
      </c>
      <c r="K46" s="33"/>
      <c r="L46" s="34"/>
      <c r="M46" s="33"/>
      <c r="N46" s="37"/>
      <c r="O46" s="37"/>
      <c r="P46" s="34"/>
    </row>
    <row r="47" spans="1:16" x14ac:dyDescent="0.3">
      <c r="A47" s="3" t="s">
        <v>85</v>
      </c>
      <c r="B47" s="14" t="s">
        <v>86</v>
      </c>
      <c r="C47" s="15"/>
      <c r="D47" s="14"/>
      <c r="E47" s="15"/>
      <c r="F47" s="17"/>
      <c r="G47" s="18"/>
      <c r="H47" s="14"/>
      <c r="I47" s="15"/>
      <c r="J47" s="7">
        <v>0</v>
      </c>
      <c r="K47" s="14"/>
      <c r="L47" s="15"/>
      <c r="M47" s="14"/>
      <c r="N47" s="16"/>
      <c r="O47" s="16"/>
      <c r="P47" s="15"/>
    </row>
    <row r="48" spans="1:16" x14ac:dyDescent="0.3">
      <c r="A48" s="3" t="s">
        <v>87</v>
      </c>
      <c r="B48" s="14" t="s">
        <v>88</v>
      </c>
      <c r="C48" s="15"/>
      <c r="D48" s="14"/>
      <c r="E48" s="15"/>
      <c r="F48" s="17"/>
      <c r="G48" s="18"/>
      <c r="H48" s="14"/>
      <c r="I48" s="15"/>
      <c r="J48" s="7">
        <v>0</v>
      </c>
      <c r="K48" s="14"/>
      <c r="L48" s="15"/>
      <c r="M48" s="14"/>
      <c r="N48" s="16"/>
      <c r="O48" s="16"/>
      <c r="P48" s="15"/>
    </row>
    <row r="49" spans="1:16" x14ac:dyDescent="0.3">
      <c r="A49" s="3" t="s">
        <v>89</v>
      </c>
      <c r="B49" s="14" t="s">
        <v>90</v>
      </c>
      <c r="C49" s="15"/>
      <c r="D49" s="14"/>
      <c r="E49" s="15"/>
      <c r="F49" s="17"/>
      <c r="G49" s="18"/>
      <c r="H49" s="14"/>
      <c r="I49" s="15"/>
      <c r="J49" s="7">
        <v>0</v>
      </c>
      <c r="K49" s="14"/>
      <c r="L49" s="15"/>
      <c r="M49" s="14"/>
      <c r="N49" s="16"/>
      <c r="O49" s="16"/>
      <c r="P49" s="15"/>
    </row>
    <row r="50" spans="1:16" x14ac:dyDescent="0.3">
      <c r="A50" s="3" t="s">
        <v>91</v>
      </c>
      <c r="B50" s="14" t="s">
        <v>92</v>
      </c>
      <c r="C50" s="15"/>
      <c r="D50" s="14"/>
      <c r="E50" s="15"/>
      <c r="F50" s="17"/>
      <c r="G50" s="18"/>
      <c r="H50" s="14"/>
      <c r="I50" s="15"/>
      <c r="J50" s="7">
        <v>0</v>
      </c>
      <c r="K50" s="14"/>
      <c r="L50" s="15"/>
      <c r="M50" s="14"/>
      <c r="N50" s="16"/>
      <c r="O50" s="16"/>
      <c r="P50" s="15"/>
    </row>
    <row r="51" spans="1:16" x14ac:dyDescent="0.3">
      <c r="A51" s="44">
        <v>8</v>
      </c>
      <c r="B51" s="43" t="s">
        <v>9</v>
      </c>
      <c r="C51" s="43"/>
      <c r="D51" s="43"/>
      <c r="E51" s="43"/>
      <c r="F51" s="43"/>
      <c r="G51" s="43"/>
      <c r="H51" s="43">
        <f>SUM(H52)</f>
        <v>0</v>
      </c>
      <c r="I51" s="43"/>
      <c r="J51" s="47">
        <f>AVERAGE(J52)</f>
        <v>0</v>
      </c>
      <c r="K51" s="43"/>
      <c r="L51" s="43"/>
      <c r="M51" s="43"/>
      <c r="N51" s="43"/>
      <c r="O51" s="43"/>
      <c r="P51" s="43"/>
    </row>
    <row r="52" spans="1:16" x14ac:dyDescent="0.3">
      <c r="A52" s="45">
        <v>8.1</v>
      </c>
      <c r="B52" s="46" t="s">
        <v>130</v>
      </c>
      <c r="C52" s="46"/>
      <c r="D52" s="46"/>
      <c r="E52" s="46"/>
      <c r="F52" s="46"/>
      <c r="G52" s="46"/>
      <c r="H52" s="46"/>
      <c r="I52" s="46"/>
      <c r="J52" s="7">
        <v>0</v>
      </c>
      <c r="K52" s="46"/>
      <c r="L52" s="46"/>
      <c r="M52" s="46"/>
      <c r="N52" s="46"/>
      <c r="O52" s="46"/>
      <c r="P52" s="46"/>
    </row>
    <row r="53" spans="1:16" x14ac:dyDescent="0.3">
      <c r="A53" s="44">
        <v>9</v>
      </c>
      <c r="B53" s="48" t="s">
        <v>131</v>
      </c>
      <c r="C53" s="43"/>
      <c r="D53" s="43"/>
      <c r="E53" s="43"/>
      <c r="F53" s="43"/>
      <c r="G53" s="43"/>
      <c r="H53" s="43">
        <f>SUM(H4,H8,H15,H23,H30,H35,H40,H46,H51)</f>
        <v>6</v>
      </c>
      <c r="I53" s="43"/>
      <c r="J53" s="47">
        <f>AVERAGE(J51,J46,J40,J35,J30,J23,J22,J15,J8,J4)</f>
        <v>8.3333333333333343E-2</v>
      </c>
      <c r="K53" s="43"/>
      <c r="L53" s="43"/>
      <c r="M53" s="43"/>
      <c r="N53" s="43"/>
      <c r="O53" s="43"/>
      <c r="P53" s="43"/>
    </row>
  </sheetData>
  <mergeCells count="307">
    <mergeCell ref="B53:C53"/>
    <mergeCell ref="D53:E53"/>
    <mergeCell ref="F53:G53"/>
    <mergeCell ref="H53:I53"/>
    <mergeCell ref="K53:L53"/>
    <mergeCell ref="M53:P53"/>
    <mergeCell ref="B51:C51"/>
    <mergeCell ref="D51:E51"/>
    <mergeCell ref="F51:G51"/>
    <mergeCell ref="H51:I51"/>
    <mergeCell ref="K51:L51"/>
    <mergeCell ref="M51:P51"/>
    <mergeCell ref="B52:C52"/>
    <mergeCell ref="D52:E52"/>
    <mergeCell ref="F52:G52"/>
    <mergeCell ref="H52:I52"/>
    <mergeCell ref="K52:L52"/>
    <mergeCell ref="M52:P52"/>
    <mergeCell ref="B12:C12"/>
    <mergeCell ref="B13:C13"/>
    <mergeCell ref="B14:C14"/>
    <mergeCell ref="B22:C22"/>
    <mergeCell ref="B23:C23"/>
    <mergeCell ref="M3:P3"/>
    <mergeCell ref="A1:P2"/>
    <mergeCell ref="B8:C8"/>
    <mergeCell ref="B9:C9"/>
    <mergeCell ref="B10:C10"/>
    <mergeCell ref="K8:L8"/>
    <mergeCell ref="B3:C3"/>
    <mergeCell ref="D3:E3"/>
    <mergeCell ref="F3:G3"/>
    <mergeCell ref="H3:I3"/>
    <mergeCell ref="K3:L3"/>
    <mergeCell ref="M8:P8"/>
    <mergeCell ref="M9:P9"/>
    <mergeCell ref="M10:P10"/>
    <mergeCell ref="M11:P11"/>
    <mergeCell ref="M12:P12"/>
    <mergeCell ref="M13:P13"/>
    <mergeCell ref="M14:P14"/>
    <mergeCell ref="D17:E17"/>
    <mergeCell ref="D28:E28"/>
    <mergeCell ref="D29:E29"/>
    <mergeCell ref="B36:C36"/>
    <mergeCell ref="D8:E8"/>
    <mergeCell ref="D9:E9"/>
    <mergeCell ref="D10:E10"/>
    <mergeCell ref="D11:E11"/>
    <mergeCell ref="D12:E12"/>
    <mergeCell ref="D13:E13"/>
    <mergeCell ref="D14:E14"/>
    <mergeCell ref="D22:E22"/>
    <mergeCell ref="D23:E23"/>
    <mergeCell ref="B30:C30"/>
    <mergeCell ref="B31:C31"/>
    <mergeCell ref="B32:C32"/>
    <mergeCell ref="B33:C33"/>
    <mergeCell ref="B34:C34"/>
    <mergeCell ref="B35:C35"/>
    <mergeCell ref="B24:C24"/>
    <mergeCell ref="B25:C25"/>
    <mergeCell ref="B26:C26"/>
    <mergeCell ref="B27:C27"/>
    <mergeCell ref="B28:C28"/>
    <mergeCell ref="B29:C29"/>
    <mergeCell ref="F26:G26"/>
    <mergeCell ref="F27:G27"/>
    <mergeCell ref="F28:G28"/>
    <mergeCell ref="F29:G29"/>
    <mergeCell ref="D36:E36"/>
    <mergeCell ref="F8:G8"/>
    <mergeCell ref="F9:G9"/>
    <mergeCell ref="F10:G10"/>
    <mergeCell ref="F11:G11"/>
    <mergeCell ref="F12:G12"/>
    <mergeCell ref="F13:G13"/>
    <mergeCell ref="F14:G14"/>
    <mergeCell ref="F22:G22"/>
    <mergeCell ref="F23:G23"/>
    <mergeCell ref="D30:E30"/>
    <mergeCell ref="D31:E31"/>
    <mergeCell ref="D32:E32"/>
    <mergeCell ref="D33:E33"/>
    <mergeCell ref="D34:E34"/>
    <mergeCell ref="D35:E35"/>
    <mergeCell ref="D24:E24"/>
    <mergeCell ref="D25:E25"/>
    <mergeCell ref="D26:E26"/>
    <mergeCell ref="D27:E27"/>
    <mergeCell ref="H24:I24"/>
    <mergeCell ref="H25:I25"/>
    <mergeCell ref="H26:I26"/>
    <mergeCell ref="H27:I27"/>
    <mergeCell ref="H28:I28"/>
    <mergeCell ref="H29:I29"/>
    <mergeCell ref="F36:G36"/>
    <mergeCell ref="H8:I8"/>
    <mergeCell ref="H9:I9"/>
    <mergeCell ref="H10:I10"/>
    <mergeCell ref="H11:I11"/>
    <mergeCell ref="H12:I12"/>
    <mergeCell ref="H13:I13"/>
    <mergeCell ref="H14:I14"/>
    <mergeCell ref="H22:I22"/>
    <mergeCell ref="H23:I23"/>
    <mergeCell ref="F30:G30"/>
    <mergeCell ref="F31:G31"/>
    <mergeCell ref="F32:G32"/>
    <mergeCell ref="F33:G33"/>
    <mergeCell ref="F34:G34"/>
    <mergeCell ref="F35:G35"/>
    <mergeCell ref="F24:G24"/>
    <mergeCell ref="F25:G25"/>
    <mergeCell ref="K30:L30"/>
    <mergeCell ref="K31:L31"/>
    <mergeCell ref="K32:L32"/>
    <mergeCell ref="K33:L33"/>
    <mergeCell ref="K27:L27"/>
    <mergeCell ref="K28:L28"/>
    <mergeCell ref="K29:L29"/>
    <mergeCell ref="H36:I36"/>
    <mergeCell ref="H30:I30"/>
    <mergeCell ref="H31:I31"/>
    <mergeCell ref="H32:I32"/>
    <mergeCell ref="H33:I33"/>
    <mergeCell ref="H34:I34"/>
    <mergeCell ref="H35:I35"/>
    <mergeCell ref="K35:L35"/>
    <mergeCell ref="K34:L34"/>
    <mergeCell ref="M30:P30"/>
    <mergeCell ref="M31:P31"/>
    <mergeCell ref="M32:P32"/>
    <mergeCell ref="M33:P33"/>
    <mergeCell ref="M34:P34"/>
    <mergeCell ref="M35:P35"/>
    <mergeCell ref="M24:P24"/>
    <mergeCell ref="M25:P25"/>
    <mergeCell ref="M26:P26"/>
    <mergeCell ref="M27:P27"/>
    <mergeCell ref="M28:P28"/>
    <mergeCell ref="M29:P29"/>
    <mergeCell ref="M36:P36"/>
    <mergeCell ref="D37:E37"/>
    <mergeCell ref="F37:G37"/>
    <mergeCell ref="D38:E38"/>
    <mergeCell ref="D39:E39"/>
    <mergeCell ref="F38:G38"/>
    <mergeCell ref="F39:G39"/>
    <mergeCell ref="H37:I37"/>
    <mergeCell ref="K39:L39"/>
    <mergeCell ref="K38:L38"/>
    <mergeCell ref="K37:L37"/>
    <mergeCell ref="K36:L36"/>
    <mergeCell ref="H41:I41"/>
    <mergeCell ref="H42:I42"/>
    <mergeCell ref="F40:G40"/>
    <mergeCell ref="F41:G41"/>
    <mergeCell ref="F42:G42"/>
    <mergeCell ref="F43:G43"/>
    <mergeCell ref="F44:G44"/>
    <mergeCell ref="F45:G45"/>
    <mergeCell ref="D40:E40"/>
    <mergeCell ref="D41:E41"/>
    <mergeCell ref="D42:E42"/>
    <mergeCell ref="D43:E43"/>
    <mergeCell ref="D44:E44"/>
    <mergeCell ref="D45:E45"/>
    <mergeCell ref="M43:P43"/>
    <mergeCell ref="M44:P44"/>
    <mergeCell ref="M45:P45"/>
    <mergeCell ref="B37:C37"/>
    <mergeCell ref="B38:C38"/>
    <mergeCell ref="B39:C39"/>
    <mergeCell ref="B40:C40"/>
    <mergeCell ref="B41:C41"/>
    <mergeCell ref="B42:C42"/>
    <mergeCell ref="M37:P37"/>
    <mergeCell ref="M38:P38"/>
    <mergeCell ref="M39:P39"/>
    <mergeCell ref="M40:P40"/>
    <mergeCell ref="M41:P41"/>
    <mergeCell ref="M42:P42"/>
    <mergeCell ref="H43:I43"/>
    <mergeCell ref="H44:I44"/>
    <mergeCell ref="H45:I45"/>
    <mergeCell ref="H38:I38"/>
    <mergeCell ref="H39:I39"/>
    <mergeCell ref="H40:I40"/>
    <mergeCell ref="F49:G49"/>
    <mergeCell ref="H46:I46"/>
    <mergeCell ref="H47:I47"/>
    <mergeCell ref="H48:I48"/>
    <mergeCell ref="H49:I49"/>
    <mergeCell ref="B43:C43"/>
    <mergeCell ref="B44:C44"/>
    <mergeCell ref="B45:C45"/>
    <mergeCell ref="D46:E46"/>
    <mergeCell ref="D47:E47"/>
    <mergeCell ref="D48:E48"/>
    <mergeCell ref="B46:C46"/>
    <mergeCell ref="B47:C47"/>
    <mergeCell ref="B48:C48"/>
    <mergeCell ref="F21:G21"/>
    <mergeCell ref="M50:P50"/>
    <mergeCell ref="B15:C15"/>
    <mergeCell ref="B16:C16"/>
    <mergeCell ref="B17:C17"/>
    <mergeCell ref="B18:C18"/>
    <mergeCell ref="B19:C19"/>
    <mergeCell ref="B20:C20"/>
    <mergeCell ref="B21:C21"/>
    <mergeCell ref="D15:E15"/>
    <mergeCell ref="D16:E16"/>
    <mergeCell ref="B49:C49"/>
    <mergeCell ref="B50:C50"/>
    <mergeCell ref="D50:E50"/>
    <mergeCell ref="F50:G50"/>
    <mergeCell ref="H50:I50"/>
    <mergeCell ref="M46:P46"/>
    <mergeCell ref="M47:P47"/>
    <mergeCell ref="M48:P48"/>
    <mergeCell ref="M49:P49"/>
    <mergeCell ref="D49:E49"/>
    <mergeCell ref="F46:G46"/>
    <mergeCell ref="F47:G47"/>
    <mergeCell ref="F48:G48"/>
    <mergeCell ref="M4:P4"/>
    <mergeCell ref="K4:L4"/>
    <mergeCell ref="H4:I4"/>
    <mergeCell ref="M15:P15"/>
    <mergeCell ref="M16:P16"/>
    <mergeCell ref="M17:P17"/>
    <mergeCell ref="M6:P6"/>
    <mergeCell ref="M5:P5"/>
    <mergeCell ref="M7:P7"/>
    <mergeCell ref="F4:G4"/>
    <mergeCell ref="D4:E4"/>
    <mergeCell ref="B4:C4"/>
    <mergeCell ref="K48:L48"/>
    <mergeCell ref="K49:L49"/>
    <mergeCell ref="K50:L50"/>
    <mergeCell ref="K40:L40"/>
    <mergeCell ref="K41:L41"/>
    <mergeCell ref="K42:L42"/>
    <mergeCell ref="K43:L43"/>
    <mergeCell ref="K44:L44"/>
    <mergeCell ref="K47:L47"/>
    <mergeCell ref="K46:L46"/>
    <mergeCell ref="K45:L45"/>
    <mergeCell ref="K12:L12"/>
    <mergeCell ref="K13:L13"/>
    <mergeCell ref="K14:L14"/>
    <mergeCell ref="H7:I7"/>
    <mergeCell ref="F7:G7"/>
    <mergeCell ref="F6:G6"/>
    <mergeCell ref="H6:I6"/>
    <mergeCell ref="K6:L6"/>
    <mergeCell ref="B5:C5"/>
    <mergeCell ref="B7:C7"/>
    <mergeCell ref="D5:E5"/>
    <mergeCell ref="F5:G5"/>
    <mergeCell ref="H5:I5"/>
    <mergeCell ref="K5:L5"/>
    <mergeCell ref="D7:E7"/>
    <mergeCell ref="B6:C6"/>
    <mergeCell ref="D6:E6"/>
    <mergeCell ref="K26:L26"/>
    <mergeCell ref="K25:L25"/>
    <mergeCell ref="K24:L24"/>
    <mergeCell ref="K23:L23"/>
    <mergeCell ref="K22:L22"/>
    <mergeCell ref="K21:L21"/>
    <mergeCell ref="K7:L7"/>
    <mergeCell ref="K15:L15"/>
    <mergeCell ref="K16:L16"/>
    <mergeCell ref="K17:L17"/>
    <mergeCell ref="K18:L18"/>
    <mergeCell ref="K19:L19"/>
    <mergeCell ref="K20:L20"/>
    <mergeCell ref="H15:I15"/>
    <mergeCell ref="H16:I16"/>
    <mergeCell ref="H17:I17"/>
    <mergeCell ref="M22:P22"/>
    <mergeCell ref="M23:P23"/>
    <mergeCell ref="K11:L11"/>
    <mergeCell ref="K10:L10"/>
    <mergeCell ref="K9:L9"/>
    <mergeCell ref="B11:C11"/>
    <mergeCell ref="H18:I18"/>
    <mergeCell ref="H19:I19"/>
    <mergeCell ref="H20:I20"/>
    <mergeCell ref="H21:I21"/>
    <mergeCell ref="M18:P18"/>
    <mergeCell ref="M19:P19"/>
    <mergeCell ref="M20:P20"/>
    <mergeCell ref="M21:P21"/>
    <mergeCell ref="D18:E18"/>
    <mergeCell ref="D19:E19"/>
    <mergeCell ref="D20:E20"/>
    <mergeCell ref="D21:E21"/>
    <mergeCell ref="F15:G15"/>
    <mergeCell ref="F16:G16"/>
    <mergeCell ref="F17:G17"/>
    <mergeCell ref="F18:G18"/>
    <mergeCell ref="F19:G19"/>
    <mergeCell ref="F20:G20"/>
  </mergeCells>
  <phoneticPr fontId="4" type="noConversion"/>
  <conditionalFormatting sqref="J4">
    <cfRule type="cellIs" dxfId="37" priority="4" operator="equal">
      <formula>1</formula>
    </cfRule>
  </conditionalFormatting>
  <conditionalFormatting sqref="J5:J7">
    <cfRule type="cellIs" dxfId="36" priority="5" operator="greaterThan">
      <formula>0.749</formula>
    </cfRule>
    <cfRule type="cellIs" dxfId="35" priority="6" operator="between">
      <formula>0.5</formula>
      <formula>0.749</formula>
    </cfRule>
    <cfRule type="cellIs" dxfId="34" priority="7" operator="lessThan">
      <formula>0.5</formula>
    </cfRule>
  </conditionalFormatting>
  <conditionalFormatting sqref="J8">
    <cfRule type="cellIs" dxfId="33" priority="40" operator="equal">
      <formula>1</formula>
    </cfRule>
  </conditionalFormatting>
  <conditionalFormatting sqref="J9:J14">
    <cfRule type="cellIs" dxfId="32" priority="37" operator="greaterThan">
      <formula>0.749</formula>
    </cfRule>
    <cfRule type="cellIs" dxfId="31" priority="38" operator="between">
      <formula>0.5</formula>
      <formula>0.749</formula>
    </cfRule>
    <cfRule type="cellIs" dxfId="30" priority="39" operator="lessThan">
      <formula>50</formula>
    </cfRule>
    <cfRule type="expression" dxfId="29" priority="41">
      <formula>J9&gt;=0.75</formula>
    </cfRule>
    <cfRule type="expression" dxfId="28" priority="42">
      <formula>AND(J9&gt;=0.5, J9&lt;0.75)</formula>
    </cfRule>
    <cfRule type="expression" dxfId="27" priority="43">
      <formula>J9&lt;0.5</formula>
    </cfRule>
  </conditionalFormatting>
  <conditionalFormatting sqref="J15">
    <cfRule type="cellIs" dxfId="26" priority="32" operator="equal">
      <formula>1</formula>
    </cfRule>
  </conditionalFormatting>
  <conditionalFormatting sqref="J16:J21">
    <cfRule type="cellIs" dxfId="25" priority="29" operator="greaterThan">
      <formula>0.749</formula>
    </cfRule>
    <cfRule type="cellIs" dxfId="24" priority="30" operator="between">
      <formula>0.5</formula>
      <formula>0.749</formula>
    </cfRule>
    <cfRule type="cellIs" dxfId="23" priority="31" operator="lessThan">
      <formula>0.5</formula>
    </cfRule>
  </conditionalFormatting>
  <conditionalFormatting sqref="J22:J23">
    <cfRule type="cellIs" dxfId="22" priority="25" operator="equal">
      <formula>1</formula>
    </cfRule>
  </conditionalFormatting>
  <conditionalFormatting sqref="J24:J29">
    <cfRule type="cellIs" dxfId="21" priority="26" operator="greaterThan">
      <formula>0.749</formula>
    </cfRule>
    <cfRule type="cellIs" dxfId="20" priority="27" operator="between">
      <formula>0.5</formula>
      <formula>0.749</formula>
    </cfRule>
    <cfRule type="cellIs" dxfId="19" priority="28" operator="lessThan">
      <formula>0.5</formula>
    </cfRule>
  </conditionalFormatting>
  <conditionalFormatting sqref="J30">
    <cfRule type="cellIs" dxfId="18" priority="21" operator="equal">
      <formula>1</formula>
    </cfRule>
  </conditionalFormatting>
  <conditionalFormatting sqref="J31:J34">
    <cfRule type="cellIs" dxfId="17" priority="22" operator="greaterThan">
      <formula>0.749</formula>
    </cfRule>
    <cfRule type="cellIs" dxfId="16" priority="23" operator="between">
      <formula>0.5</formula>
      <formula>0.749</formula>
    </cfRule>
    <cfRule type="cellIs" dxfId="15" priority="24" operator="lessThan">
      <formula>0.5</formula>
    </cfRule>
  </conditionalFormatting>
  <conditionalFormatting sqref="J35">
    <cfRule type="cellIs" dxfId="14" priority="17" operator="equal">
      <formula>1</formula>
    </cfRule>
  </conditionalFormatting>
  <conditionalFormatting sqref="J36:J39">
    <cfRule type="cellIs" dxfId="13" priority="18" operator="greaterThan">
      <formula>0.749</formula>
    </cfRule>
    <cfRule type="cellIs" dxfId="12" priority="19" operator="between">
      <formula>0.5</formula>
      <formula>0.749</formula>
    </cfRule>
    <cfRule type="cellIs" dxfId="11" priority="20" operator="lessThan">
      <formula>0.5</formula>
    </cfRule>
  </conditionalFormatting>
  <conditionalFormatting sqref="J40">
    <cfRule type="cellIs" dxfId="10" priority="16" operator="equal">
      <formula>1</formula>
    </cfRule>
  </conditionalFormatting>
  <conditionalFormatting sqref="J41:J45">
    <cfRule type="cellIs" dxfId="9" priority="13" operator="greaterThan">
      <formula>0.749</formula>
    </cfRule>
    <cfRule type="cellIs" dxfId="8" priority="14" operator="between">
      <formula>0.5</formula>
      <formula>0.749</formula>
    </cfRule>
    <cfRule type="cellIs" dxfId="7" priority="15" operator="lessThan">
      <formula>0.5</formula>
    </cfRule>
  </conditionalFormatting>
  <conditionalFormatting sqref="J46">
    <cfRule type="cellIs" dxfId="6" priority="12" operator="equal">
      <formula>1</formula>
    </cfRule>
  </conditionalFormatting>
  <conditionalFormatting sqref="J47:J50">
    <cfRule type="cellIs" dxfId="5" priority="9" operator="greaterThan">
      <formula>0.749</formula>
    </cfRule>
    <cfRule type="cellIs" dxfId="4" priority="10" operator="between">
      <formula>0.5</formula>
      <formula>0.749</formula>
    </cfRule>
    <cfRule type="cellIs" dxfId="3" priority="11" operator="lessThan">
      <formula>0.5</formula>
    </cfRule>
  </conditionalFormatting>
  <conditionalFormatting sqref="J52">
    <cfRule type="cellIs" dxfId="2" priority="1" operator="greaterThan">
      <formula>0.749</formula>
    </cfRule>
    <cfRule type="cellIs" dxfId="1" priority="2" operator="between">
      <formula>0.5</formula>
      <formula>0.749</formula>
    </cfRule>
    <cfRule type="cellIs" dxfId="0" priority="3" operator="lessThan">
      <formula>0.5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17588-9545-4CF1-99CA-814A0F8A2074}">
  <dimension ref="A2:F29"/>
  <sheetViews>
    <sheetView workbookViewId="0">
      <selection activeCell="G8" sqref="G8"/>
    </sheetView>
  </sheetViews>
  <sheetFormatPr defaultRowHeight="14.4" x14ac:dyDescent="0.3"/>
  <cols>
    <col min="1" max="1" width="16" bestFit="1" customWidth="1"/>
    <col min="3" max="3" width="10.33203125" customWidth="1"/>
    <col min="4" max="4" width="10.109375" customWidth="1"/>
    <col min="5" max="5" width="10.88671875" customWidth="1"/>
    <col min="6" max="6" width="37.33203125" customWidth="1"/>
  </cols>
  <sheetData>
    <row r="2" spans="1:6" x14ac:dyDescent="0.3">
      <c r="A2" s="22" t="s">
        <v>93</v>
      </c>
      <c r="B2" s="22"/>
      <c r="C2" s="22"/>
      <c r="D2" s="22"/>
      <c r="E2" s="22"/>
      <c r="F2" s="22"/>
    </row>
    <row r="3" spans="1:6" x14ac:dyDescent="0.3">
      <c r="A3" s="10" t="s">
        <v>94</v>
      </c>
      <c r="B3" s="23" t="s">
        <v>95</v>
      </c>
      <c r="C3" s="23"/>
      <c r="D3" s="23"/>
      <c r="E3" s="23"/>
      <c r="F3" s="23"/>
    </row>
    <row r="4" spans="1:6" x14ac:dyDescent="0.3">
      <c r="A4" s="9" t="s">
        <v>96</v>
      </c>
      <c r="B4" s="19" t="s">
        <v>97</v>
      </c>
      <c r="C4" s="20"/>
      <c r="D4" s="20"/>
      <c r="E4" s="20"/>
      <c r="F4" s="21"/>
    </row>
    <row r="5" spans="1:6" x14ac:dyDescent="0.3">
      <c r="A5" s="9" t="s">
        <v>98</v>
      </c>
      <c r="B5" s="19" t="s">
        <v>99</v>
      </c>
      <c r="C5" s="20"/>
      <c r="D5" s="20"/>
      <c r="E5" s="20"/>
      <c r="F5" s="21"/>
    </row>
    <row r="6" spans="1:6" x14ac:dyDescent="0.3">
      <c r="A6" s="9" t="s">
        <v>100</v>
      </c>
      <c r="B6" s="19" t="s">
        <v>101</v>
      </c>
      <c r="C6" s="20"/>
      <c r="D6" s="20"/>
      <c r="E6" s="20"/>
      <c r="F6" s="21"/>
    </row>
    <row r="7" spans="1:6" x14ac:dyDescent="0.3">
      <c r="A7" s="9" t="s">
        <v>102</v>
      </c>
      <c r="B7" s="19" t="s">
        <v>101</v>
      </c>
      <c r="C7" s="20"/>
      <c r="D7" s="20"/>
      <c r="E7" s="20"/>
      <c r="F7" s="21"/>
    </row>
    <row r="8" spans="1:6" x14ac:dyDescent="0.3">
      <c r="A8" s="9" t="s">
        <v>103</v>
      </c>
      <c r="B8" s="19" t="s">
        <v>101</v>
      </c>
      <c r="C8" s="20"/>
      <c r="D8" s="20"/>
      <c r="E8" s="20"/>
      <c r="F8" s="21"/>
    </row>
    <row r="9" spans="1:6" x14ac:dyDescent="0.3">
      <c r="A9" s="9" t="s">
        <v>104</v>
      </c>
      <c r="B9" s="19" t="s">
        <v>101</v>
      </c>
      <c r="C9" s="20"/>
      <c r="D9" s="20"/>
      <c r="E9" s="20"/>
      <c r="F9" s="21"/>
    </row>
    <row r="10" spans="1:6" x14ac:dyDescent="0.3">
      <c r="A10" s="9" t="s">
        <v>105</v>
      </c>
      <c r="B10" s="19" t="s">
        <v>106</v>
      </c>
      <c r="C10" s="20"/>
      <c r="D10" s="20"/>
      <c r="E10" s="20"/>
      <c r="F10" s="21"/>
    </row>
    <row r="11" spans="1:6" x14ac:dyDescent="0.3">
      <c r="A11" s="9" t="s">
        <v>107</v>
      </c>
      <c r="B11" s="19" t="s">
        <v>108</v>
      </c>
      <c r="C11" s="20"/>
      <c r="D11" s="20"/>
      <c r="E11" s="20"/>
      <c r="F11" s="21"/>
    </row>
    <row r="12" spans="1:6" x14ac:dyDescent="0.3">
      <c r="A12" s="9" t="s">
        <v>109</v>
      </c>
      <c r="B12" s="19" t="s">
        <v>110</v>
      </c>
      <c r="C12" s="20"/>
      <c r="D12" s="20"/>
      <c r="E12" s="20"/>
      <c r="F12" s="21"/>
    </row>
    <row r="13" spans="1:6" x14ac:dyDescent="0.3">
      <c r="A13" s="9" t="s">
        <v>111</v>
      </c>
      <c r="B13" s="19" t="s">
        <v>112</v>
      </c>
      <c r="C13" s="20"/>
      <c r="D13" s="20"/>
      <c r="E13" s="20"/>
      <c r="F13" s="21"/>
    </row>
    <row r="14" spans="1:6" x14ac:dyDescent="0.3">
      <c r="A14" s="9" t="s">
        <v>113</v>
      </c>
      <c r="B14" s="19" t="s">
        <v>114</v>
      </c>
      <c r="C14" s="20"/>
      <c r="D14" s="20"/>
      <c r="E14" s="20"/>
      <c r="F14" s="21"/>
    </row>
    <row r="15" spans="1:6" x14ac:dyDescent="0.3">
      <c r="A15" s="9" t="s">
        <v>115</v>
      </c>
      <c r="B15" s="19" t="s">
        <v>116</v>
      </c>
      <c r="C15" s="20"/>
      <c r="D15" s="20"/>
      <c r="E15" s="20"/>
      <c r="F15" s="21"/>
    </row>
    <row r="16" spans="1:6" x14ac:dyDescent="0.3">
      <c r="A16" s="9" t="s">
        <v>117</v>
      </c>
      <c r="B16" s="19" t="s">
        <v>118</v>
      </c>
      <c r="C16" s="20"/>
      <c r="D16" s="20"/>
      <c r="E16" s="20"/>
      <c r="F16" s="21"/>
    </row>
    <row r="17" spans="1:6" x14ac:dyDescent="0.3">
      <c r="A17" s="9" t="s">
        <v>119</v>
      </c>
      <c r="B17" s="19" t="s">
        <v>120</v>
      </c>
      <c r="C17" s="20"/>
      <c r="D17" s="20"/>
      <c r="E17" s="20"/>
      <c r="F17" s="21"/>
    </row>
    <row r="18" spans="1:6" x14ac:dyDescent="0.3">
      <c r="A18" s="11" t="s">
        <v>121</v>
      </c>
      <c r="B18" s="25" t="s">
        <v>122</v>
      </c>
      <c r="C18" s="26"/>
      <c r="D18" s="26"/>
      <c r="E18" s="26"/>
      <c r="F18" s="27"/>
    </row>
    <row r="19" spans="1:6" x14ac:dyDescent="0.3">
      <c r="A19" s="9" t="s">
        <v>123</v>
      </c>
      <c r="B19" s="24" t="s">
        <v>124</v>
      </c>
      <c r="C19" s="24"/>
      <c r="D19" s="24"/>
      <c r="E19" s="24"/>
      <c r="F19" s="24"/>
    </row>
    <row r="20" spans="1:6" x14ac:dyDescent="0.3">
      <c r="A20" s="12"/>
      <c r="B20" s="13"/>
      <c r="C20" s="13"/>
      <c r="D20" s="13"/>
      <c r="E20" s="13"/>
      <c r="F20" s="12"/>
    </row>
    <row r="21" spans="1:6" x14ac:dyDescent="0.3">
      <c r="A21" s="12"/>
      <c r="B21" s="13"/>
      <c r="C21" s="13"/>
      <c r="D21" s="13"/>
      <c r="E21" s="13"/>
      <c r="F21" s="12"/>
    </row>
    <row r="22" spans="1:6" x14ac:dyDescent="0.3">
      <c r="A22" s="12"/>
      <c r="B22" s="13"/>
      <c r="C22" s="13"/>
      <c r="D22" s="13"/>
      <c r="E22" s="13"/>
      <c r="F22" s="12"/>
    </row>
    <row r="23" spans="1:6" x14ac:dyDescent="0.3">
      <c r="A23" s="12"/>
      <c r="B23" s="13"/>
      <c r="C23" s="13"/>
      <c r="D23" s="13"/>
      <c r="E23" s="13"/>
      <c r="F23" s="12"/>
    </row>
    <row r="24" spans="1:6" x14ac:dyDescent="0.3">
      <c r="A24" s="12"/>
      <c r="B24" s="13"/>
      <c r="C24" s="13"/>
      <c r="D24" s="13"/>
      <c r="E24" s="13"/>
      <c r="F24" s="12"/>
    </row>
    <row r="25" spans="1:6" x14ac:dyDescent="0.3">
      <c r="A25" s="12"/>
      <c r="B25" s="13"/>
      <c r="C25" s="13"/>
      <c r="D25" s="13"/>
      <c r="E25" s="13"/>
      <c r="F25" s="12"/>
    </row>
    <row r="26" spans="1:6" x14ac:dyDescent="0.3">
      <c r="A26" s="12"/>
      <c r="B26" s="13"/>
      <c r="C26" s="13"/>
      <c r="D26" s="13"/>
      <c r="E26" s="13"/>
      <c r="F26" s="12"/>
    </row>
    <row r="27" spans="1:6" x14ac:dyDescent="0.3">
      <c r="A27" s="12"/>
      <c r="B27" s="13"/>
      <c r="C27" s="13"/>
      <c r="D27" s="13"/>
      <c r="E27" s="13"/>
      <c r="F27" s="12"/>
    </row>
    <row r="28" spans="1:6" x14ac:dyDescent="0.3">
      <c r="A28" s="12"/>
      <c r="B28" s="13"/>
      <c r="C28" s="13"/>
      <c r="D28" s="13"/>
      <c r="E28" s="13"/>
      <c r="F28" s="12"/>
    </row>
    <row r="29" spans="1:6" x14ac:dyDescent="0.3">
      <c r="A29" s="12"/>
      <c r="B29" s="13"/>
      <c r="C29" s="13"/>
      <c r="D29" s="13"/>
      <c r="E29" s="13"/>
      <c r="F29" s="12"/>
    </row>
  </sheetData>
  <mergeCells count="18">
    <mergeCell ref="B19:F19"/>
    <mergeCell ref="B13:F13"/>
    <mergeCell ref="B14:F14"/>
    <mergeCell ref="B15:F15"/>
    <mergeCell ref="B16:F16"/>
    <mergeCell ref="B17:F17"/>
    <mergeCell ref="B18:F18"/>
    <mergeCell ref="B12:F12"/>
    <mergeCell ref="A2:F2"/>
    <mergeCell ref="B3:F3"/>
    <mergeCell ref="B4:F4"/>
    <mergeCell ref="B5:F5"/>
    <mergeCell ref="B6:F6"/>
    <mergeCell ref="B7:F7"/>
    <mergeCell ref="B8:F8"/>
    <mergeCell ref="B9:F9"/>
    <mergeCell ref="B10:F10"/>
    <mergeCell ref="B11:F1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6695AF417D9854C985D8E3C20D4119E" ma:contentTypeVersion="10" ma:contentTypeDescription="Een nieuw document maken." ma:contentTypeScope="" ma:versionID="136735c3140708274b19aad5c0980374">
  <xsd:schema xmlns:xsd="http://www.w3.org/2001/XMLSchema" xmlns:xs="http://www.w3.org/2001/XMLSchema" xmlns:p="http://schemas.microsoft.com/office/2006/metadata/properties" xmlns:ns3="187ed867-fc70-448b-aee7-aa48c4959a25" targetNamespace="http://schemas.microsoft.com/office/2006/metadata/properties" ma:root="true" ma:fieldsID="e7c9aa59efb80c4117bfb04221e5e1db" ns3:_="">
    <xsd:import namespace="187ed867-fc70-448b-aee7-aa48c4959a25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BillingMetadata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87ed867-fc70-448b-aee7-aa48c4959a25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12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87ed867-fc70-448b-aee7-aa48c4959a25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43791F9-B49D-4714-AEE2-85B5148ACE8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87ed867-fc70-448b-aee7-aa48c4959a25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394DCA5-A584-4C35-AC09-9D1985A9A267}">
  <ds:schemaRefs>
    <ds:schemaRef ds:uri="http://schemas.microsoft.com/office/2006/metadata/properties"/>
    <ds:schemaRef ds:uri="http://schemas.microsoft.com/office/infopath/2007/PartnerControls"/>
    <ds:schemaRef ds:uri="187ed867-fc70-448b-aee7-aa48c4959a25"/>
  </ds:schemaRefs>
</ds:datastoreItem>
</file>

<file path=customXml/itemProps3.xml><?xml version="1.0" encoding="utf-8"?>
<ds:datastoreItem xmlns:ds="http://schemas.openxmlformats.org/officeDocument/2006/customXml" ds:itemID="{1674F4E4-B3FF-47FC-AB19-C5568DF28C6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Logboek</vt:lpstr>
      <vt:lpstr>ATMEGA32U4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Mikhaela Balaga</dc:creator>
  <cp:keywords/>
  <dc:description/>
  <cp:lastModifiedBy>Marie Van de moortel</cp:lastModifiedBy>
  <cp:revision/>
  <dcterms:created xsi:type="dcterms:W3CDTF">2026-02-12T17:10:07Z</dcterms:created>
  <dcterms:modified xsi:type="dcterms:W3CDTF">2026-02-18T14:56:47Z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c337be75-dfbb-4261-9834-ac247c7dde13_Enabled">
    <vt:lpwstr>true</vt:lpwstr>
  </property>
  <property fmtid="{D5CDD505-2E9C-101B-9397-08002B2CF9AE}" pid="3" name="MSIP_Label_c337be75-dfbb-4261-9834-ac247c7dde13_SetDate">
    <vt:lpwstr>2026-02-12T17:10:26Z</vt:lpwstr>
  </property>
  <property fmtid="{D5CDD505-2E9C-101B-9397-08002B2CF9AE}" pid="4" name="MSIP_Label_c337be75-dfbb-4261-9834-ac247c7dde13_Method">
    <vt:lpwstr>Standard</vt:lpwstr>
  </property>
  <property fmtid="{D5CDD505-2E9C-101B-9397-08002B2CF9AE}" pid="5" name="MSIP_Label_c337be75-dfbb-4261-9834-ac247c7dde13_Name">
    <vt:lpwstr>Algemeen</vt:lpwstr>
  </property>
  <property fmtid="{D5CDD505-2E9C-101B-9397-08002B2CF9AE}" pid="6" name="MSIP_Label_c337be75-dfbb-4261-9834-ac247c7dde13_SiteId">
    <vt:lpwstr>77d33cc5-c9b4-4766-95c7-ed5b515e1cce</vt:lpwstr>
  </property>
  <property fmtid="{D5CDD505-2E9C-101B-9397-08002B2CF9AE}" pid="7" name="MSIP_Label_c337be75-dfbb-4261-9834-ac247c7dde13_ActionId">
    <vt:lpwstr>e0439d05-f0ad-48b6-873a-f665b961609b</vt:lpwstr>
  </property>
  <property fmtid="{D5CDD505-2E9C-101B-9397-08002B2CF9AE}" pid="8" name="MSIP_Label_c337be75-dfbb-4261-9834-ac247c7dde13_ContentBits">
    <vt:lpwstr>0</vt:lpwstr>
  </property>
  <property fmtid="{D5CDD505-2E9C-101B-9397-08002B2CF9AE}" pid="9" name="MSIP_Label_c337be75-dfbb-4261-9834-ac247c7dde13_Tag">
    <vt:lpwstr>10, 3, 0, 1</vt:lpwstr>
  </property>
  <property fmtid="{D5CDD505-2E9C-101B-9397-08002B2CF9AE}" pid="10" name="ContentTypeId">
    <vt:lpwstr>0x010100F6695AF417D9854C985D8E3C20D4119E</vt:lpwstr>
  </property>
</Properties>
</file>